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utv\Desktop\SimuPilot\analysis\"/>
    </mc:Choice>
  </mc:AlternateContent>
  <xr:revisionPtr revIDLastSave="0" documentId="13_ncr:1_{BCAC54EB-4F05-4BC4-97ED-EC05F4458884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Test Comparison" sheetId="1" r:id="rId1"/>
    <sheet name="Braking Zone Analysis" sheetId="5" r:id="rId2"/>
    <sheet name="Key Findings" sheetId="3" r:id="rId3"/>
    <sheet name="Proposed Physics Modifica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5" l="1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</calcChain>
</file>

<file path=xl/sharedStrings.xml><?xml version="1.0" encoding="utf-8"?>
<sst xmlns="http://schemas.openxmlformats.org/spreadsheetml/2006/main" count="140" uniqueCount="120">
  <si>
    <t>Metric</t>
  </si>
  <si>
    <t>Test A — Fastest Lap</t>
  </si>
  <si>
    <t>Test B — Fastest Lap</t>
  </si>
  <si>
    <t>Test C — Fastest Lap</t>
  </si>
  <si>
    <t>TECHNIQUE</t>
  </si>
  <si>
    <t>Braking approach</t>
  </si>
  <si>
    <t>100% brake held throughout + steering at full brake</t>
  </si>
  <si>
    <t>Initial peak, threshold modulation, proper trail brake</t>
  </si>
  <si>
    <t>100% brake straight-line phase, early release before trail braking</t>
  </si>
  <si>
    <t>ENTRY</t>
  </si>
  <si>
    <t>DECELERATION</t>
  </si>
  <si>
    <t>Peak decel (G)</t>
  </si>
  <si>
    <t>G at turn-in (G)</t>
  </si>
  <si>
    <t>Brake % at turn-in</t>
  </si>
  <si>
    <t>100.00%</t>
  </si>
  <si>
    <t>55.66%</t>
  </si>
  <si>
    <t>66.03%</t>
  </si>
  <si>
    <t>Steer at turn-in (°)</t>
  </si>
  <si>
    <t>—</t>
  </si>
  <si>
    <t>SPEED &amp; DISTANCE</t>
  </si>
  <si>
    <t>Distance at brake start (m)</t>
  </si>
  <si>
    <t>Distance at turn-in (m)</t>
  </si>
  <si>
    <t>Distance at brake release (m)</t>
  </si>
  <si>
    <t>BRAKE APPLICATION</t>
  </si>
  <si>
    <t>Peak brake pressure (%)</t>
  </si>
  <si>
    <t>90.81%</t>
  </si>
  <si>
    <t>Time at 100% brake</t>
  </si>
  <si>
    <t>Never</t>
  </si>
  <si>
    <t>TYRE SLIP</t>
  </si>
  <si>
    <t>Peak slip ratio FL (%)</t>
  </si>
  <si>
    <t>Peak slip ratio FR (%)</t>
  </si>
  <si>
    <t>LAP PERFORMANCE</t>
  </si>
  <si>
    <t>Lap time</t>
  </si>
  <si>
    <t>1:51.516 (Lap 7)</t>
  </si>
  <si>
    <t>1:52.345 (Lap 7)</t>
  </si>
  <si>
    <t>1:51.986 (Lap 6)</t>
  </si>
  <si>
    <t>Delta vs Test A</t>
  </si>
  <si>
    <t>+0.829s</t>
  </si>
  <si>
    <t>+0.470s</t>
  </si>
  <si>
    <t>Finding 1</t>
  </si>
  <si>
    <t>Finding 2</t>
  </si>
  <si>
    <t>Finding 3</t>
  </si>
  <si>
    <t>Finding 4</t>
  </si>
  <si>
    <t>File</t>
  </si>
  <si>
    <t>Parameter</t>
  </si>
  <si>
    <t>Current Value</t>
  </si>
  <si>
    <t>Suggested Value</t>
  </si>
  <si>
    <t>Rationale</t>
  </si>
  <si>
    <t>tyres.ini</t>
  </si>
  <si>
    <t>DX_REF</t>
  </si>
  <si>
    <t>0.20</t>
  </si>
  <si>
    <t>0.13–0.15</t>
  </si>
  <si>
    <t>Reduces sustained peak grip — addresses Finding 1 (no G decay)</t>
  </si>
  <si>
    <t>FALLOFF_SPEED</t>
  </si>
  <si>
    <t>1.0</t>
  </si>
  <si>
    <t>1.2–1.5</t>
  </si>
  <si>
    <t>Faster grip falloff with slip speed — reinforces G decay</t>
  </si>
  <si>
    <t>COMBINED_FACTOR</t>
  </si>
  <si>
    <t>0.95</t>
  </si>
  <si>
    <t>0.82</t>
  </si>
  <si>
    <t>Stronger combined slip penalty — addresses Finding 2 (friction circle)</t>
  </si>
  <si>
    <t>DX0</t>
  </si>
  <si>
    <t>1.72</t>
  </si>
  <si>
    <t>1.65</t>
  </si>
  <si>
    <t>Lower peak longitudinal friction coefficient</t>
  </si>
  <si>
    <t>DX1</t>
  </si>
  <si>
    <t>1.82</t>
  </si>
  <si>
    <t>1.75</t>
  </si>
  <si>
    <t>Lower sliding longitudinal friction coefficient</t>
  </si>
  <si>
    <t>LS_EXP</t>
  </si>
  <si>
    <t>0.55</t>
  </si>
  <si>
    <t>0.65–0.75</t>
  </si>
  <si>
    <t>Sharper load sensitivity — more penalty for overloading tyre</t>
  </si>
  <si>
    <t>ctrl.ini</t>
  </si>
  <si>
    <t>ABS threshold</t>
  </si>
  <si>
    <t>Review</t>
  </si>
  <si>
    <t>Tighten ABS intervention window — addresses Finding 3 (ABS too forgiving)</t>
  </si>
  <si>
    <t>aero.ini</t>
  </si>
  <si>
    <t>Front wing pitch coeff</t>
  </si>
  <si>
    <t>+~20%</t>
  </si>
  <si>
    <t>Increased front downforce for more realistic braking stability</t>
  </si>
  <si>
    <t xml:space="preserve"> Friction Circle Not Enforced — Combined Slip Penalty Too Weak</t>
  </si>
  <si>
    <t xml:space="preserve"> Longitudinal Grip Too Stable Under Sustained Braking</t>
  </si>
  <si>
    <t xml:space="preserve"> ABS Over-Drive Carries No Efficiency Penalty</t>
  </si>
  <si>
    <t xml:space="preserve"> Proper Technique Is Slower</t>
  </si>
  <si>
    <t>Test A runs peak slip FL at -14.50%  (deeper into the ABS working range than Test B at -7.98%) yet still produces 0.41 G more average decel (-1.6395 G vs -1.2253 G). Test C also outperforms Test B by 0.36 G on average despite cruder technique. Over-driving the ABS past its optimal slip window carries no efficiency penalty in AC.</t>
  </si>
  <si>
    <t>Tests A and C both hold 100% brake for 2.2s and 2.5s respectively with G profiles that are flat throughout - Test A mean -1.8194 G (range -2.2753 to -1.5969), Test C mean -1.7807 G (range -2.0812 to -1.5345). No systematic decay is present. Realistic GT3 behaviour produces a sharp initial G peak that naturally reduces as tyre slip builds and speed decreases. AC does not replicate this.</t>
  </si>
  <si>
    <t>Test A maintains -1.5952 G of longitudinal deceleration at turn-in while still at 100% brake and 5.11° steer. The mean slip ratio shifts by only 1.19% when steering is added (straight: -9.19%, combined: -8.00%), meaning lateral demand barely reduces longitudinal capacity. The front tyres are not penalised for doing too much at once.</t>
  </si>
  <si>
    <t>Test B (threshold modulation + proper trail brake) is 0.829s per lap slower than Test A (sustained 100% brake). The three behaviours above compound to actively penalise correct driving - maximum slam-and-hold is the fastest approach in the unmodified AC tyre model.</t>
  </si>
  <si>
    <t>Proposed Physics Modifications — Addressing Identified Behaviours</t>
  </si>
  <si>
    <t>Key Findings - Unmodified AC GT3 Braking Physics</t>
  </si>
  <si>
    <t>Monza T1 · Kunos AMG GT3 2015 · MoTeC i2 Pro</t>
  </si>
  <si>
    <t>AC GT3 Braking Physics - Test Comparison</t>
  </si>
  <si>
    <t>Yes - full zone</t>
  </si>
  <si>
    <t>Yes - straight phase only</t>
  </si>
  <si>
    <t>Mean slip FL - straight phase (%)</t>
  </si>
  <si>
    <t>Mean slip FL - brk &gt;50% (%)</t>
  </si>
  <si>
    <t>Mean slip FL - combined &gt;20° (%)</t>
  </si>
  <si>
    <t>Straight 100% phase - G min (G)</t>
  </si>
  <si>
    <t>Straight 100% phase - G max (G)</t>
  </si>
  <si>
    <t>Straight 100% phase - G mean (G)</t>
  </si>
  <si>
    <t>Average decel - brk &gt;30% (G)</t>
  </si>
  <si>
    <t>Average deceleration rate (m/s²)</t>
  </si>
  <si>
    <t>Total braking duration (s)</t>
  </si>
  <si>
    <t>Total braking distance (m)</t>
  </si>
  <si>
    <t>BRAKING ZONE SUMMARY</t>
  </si>
  <si>
    <t>Time into lap at brake release (s)</t>
  </si>
  <si>
    <t>BRAKE RELEASE</t>
  </si>
  <si>
    <t>Time into lap at brake start (s)</t>
  </si>
  <si>
    <t>BRAKE START</t>
  </si>
  <si>
    <t>Test C</t>
  </si>
  <si>
    <t>Test B</t>
  </si>
  <si>
    <t>Test A</t>
  </si>
  <si>
    <t>Braking Zone Analysis — Distance &amp; Time</t>
  </si>
  <si>
    <t xml:space="preserve">                                                                  From first brake input (&gt;5%) to brake release (&lt;5%) </t>
  </si>
  <si>
    <t>Average deceleration rate (kmph/s)</t>
  </si>
  <si>
    <t>Speed scrubbed (kmph)</t>
  </si>
  <si>
    <t>Speed at brake release (kmph)</t>
  </si>
  <si>
    <t>Speed at brake start (kmph)</t>
  </si>
  <si>
    <t>Entry speed (kmph)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</si>
</sst>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AAAAAA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sz val="9"/>
      <color rgb="FF222222"/>
      <name val="Arial"/>
      <charset val="1"/>
    </font>
    <font>
      <b/>
      <sz val="13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63946"/>
        <bgColor rgb="FF993366"/>
      </patternFill>
    </fill>
    <fill>
      <patternFill patternType="solid">
        <fgColor rgb="FF2EC4B6"/>
        <bgColor rgb="FF00CCFF"/>
      </patternFill>
    </fill>
    <fill>
      <patternFill patternType="solid">
        <fgColor rgb="FFF4A261"/>
        <bgColor rgb="FFFF9900"/>
      </patternFill>
    </fill>
    <fill>
      <patternFill patternType="solid">
        <fgColor rgb="FF0F3460"/>
        <bgColor rgb="FF16213E"/>
      </patternFill>
    </fill>
    <fill>
      <patternFill patternType="solid">
        <fgColor rgb="FFE9ECEF"/>
        <bgColor rgb="FFEFF6FF"/>
      </patternFill>
    </fill>
    <fill>
      <patternFill patternType="solid">
        <fgColor rgb="FFF8F9FA"/>
        <bgColor rgb="FFEFF6FF"/>
      </patternFill>
    </fill>
    <fill>
      <patternFill patternType="solid">
        <fgColor rgb="FFFFFFFF"/>
        <bgColor rgb="FFF8F9FA"/>
      </patternFill>
    </fill>
    <fill>
      <patternFill patternType="solid">
        <fgColor rgb="FFEFF6FF"/>
        <bgColor rgb="FFF8F9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11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2" fontId="6" fillId="9" borderId="1" xfId="0" applyNumberFormat="1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08080"/>
      <rgbColor rgb="FFC0C0C0"/>
      <rgbColor rgb="FF777777"/>
      <rgbColor rgb="FF9999FF"/>
      <rgbColor rgb="FFE63946"/>
      <rgbColor rgb="FFF8F9FA"/>
      <rgbColor rgb="FFEFF6FF"/>
      <rgbColor rgb="FF660066"/>
      <rgbColor rgb="FFF4A2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CCFFCC"/>
      <rgbColor rgb="FFFFFF99"/>
      <rgbColor rgb="FF99CCFF"/>
      <rgbColor rgb="FFFF99CC"/>
      <rgbColor rgb="FFCC99FF"/>
      <rgbColor rgb="FFFFCC99"/>
      <rgbColor rgb="FF3366FF"/>
      <rgbColor rgb="FF2EC4B6"/>
      <rgbColor rgb="FF99CC00"/>
      <rgbColor rgb="FFFFCC00"/>
      <rgbColor rgb="FFFF9900"/>
      <rgbColor rgb="FFFF6600"/>
      <rgbColor rgb="FF666699"/>
      <rgbColor rgb="FFAAAAAA"/>
      <rgbColor rgb="FF0F3460"/>
      <rgbColor rgb="FF339966"/>
      <rgbColor rgb="FF16213E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6" sqref="A36"/>
    </sheetView>
  </sheetViews>
  <sheetFormatPr defaultColWidth="8.7109375" defaultRowHeight="15" x14ac:dyDescent="0.25"/>
  <cols>
    <col min="1" max="1" width="38" customWidth="1"/>
    <col min="2" max="4" width="22" customWidth="1"/>
  </cols>
  <sheetData>
    <row r="1" spans="1:4" ht="27.75" customHeight="1" x14ac:dyDescent="0.25">
      <c r="A1" s="6" t="s">
        <v>92</v>
      </c>
      <c r="B1" s="6"/>
      <c r="C1" s="6"/>
      <c r="D1" s="6"/>
    </row>
    <row r="2" spans="1:4" ht="15.75" customHeight="1" x14ac:dyDescent="0.25">
      <c r="A2" s="5" t="s">
        <v>91</v>
      </c>
      <c r="B2" s="5"/>
      <c r="C2" s="5"/>
      <c r="D2" s="5"/>
    </row>
    <row r="3" spans="1:4" ht="19.5" customHeight="1" x14ac:dyDescent="0.25">
      <c r="A3" s="7" t="s">
        <v>0</v>
      </c>
      <c r="B3" s="8" t="s">
        <v>1</v>
      </c>
      <c r="C3" s="9" t="s">
        <v>2</v>
      </c>
      <c r="D3" s="10" t="s">
        <v>3</v>
      </c>
    </row>
    <row r="4" spans="1:4" ht="15.75" customHeight="1" x14ac:dyDescent="0.25">
      <c r="A4" s="4" t="s">
        <v>4</v>
      </c>
      <c r="B4" s="4"/>
      <c r="C4" s="4"/>
      <c r="D4" s="4"/>
    </row>
    <row r="5" spans="1:4" ht="43.5" customHeight="1" x14ac:dyDescent="0.25">
      <c r="A5" s="11" t="s">
        <v>5</v>
      </c>
      <c r="B5" s="12" t="s">
        <v>6</v>
      </c>
      <c r="C5" s="12" t="s">
        <v>7</v>
      </c>
      <c r="D5" s="12" t="s">
        <v>8</v>
      </c>
    </row>
    <row r="6" spans="1:4" ht="15.75" customHeight="1" x14ac:dyDescent="0.25">
      <c r="A6" s="4" t="s">
        <v>9</v>
      </c>
      <c r="B6" s="4"/>
      <c r="C6" s="4"/>
      <c r="D6" s="4"/>
    </row>
    <row r="7" spans="1:4" ht="18" customHeight="1" x14ac:dyDescent="0.25">
      <c r="A7" s="11" t="s">
        <v>119</v>
      </c>
      <c r="B7" s="12">
        <v>273.60000000000002</v>
      </c>
      <c r="C7" s="12">
        <v>271.8</v>
      </c>
      <c r="D7" s="12">
        <v>272.60000000000002</v>
      </c>
    </row>
    <row r="8" spans="1:4" ht="15.75" customHeight="1" x14ac:dyDescent="0.25">
      <c r="A8" s="4" t="s">
        <v>10</v>
      </c>
      <c r="B8" s="4"/>
      <c r="C8" s="4"/>
      <c r="D8" s="4"/>
    </row>
    <row r="9" spans="1:4" ht="18" customHeight="1" x14ac:dyDescent="0.25">
      <c r="A9" s="11" t="s">
        <v>11</v>
      </c>
      <c r="B9" s="12">
        <v>-2.2753000000000001</v>
      </c>
      <c r="C9" s="12">
        <v>-1.9602999999999999</v>
      </c>
      <c r="D9" s="12">
        <v>-2.0811999999999999</v>
      </c>
    </row>
    <row r="10" spans="1:4" ht="18" customHeight="1" x14ac:dyDescent="0.25">
      <c r="A10" s="11" t="s">
        <v>101</v>
      </c>
      <c r="B10" s="13">
        <v>-1.6395</v>
      </c>
      <c r="C10" s="13">
        <v>-1.2253000000000001</v>
      </c>
      <c r="D10" s="13">
        <v>-1.5885</v>
      </c>
    </row>
    <row r="11" spans="1:4" ht="18" customHeight="1" x14ac:dyDescent="0.25">
      <c r="A11" s="11" t="s">
        <v>12</v>
      </c>
      <c r="B11" s="12">
        <v>-1.5952</v>
      </c>
      <c r="C11" s="12">
        <v>-1.1148</v>
      </c>
      <c r="D11" s="12">
        <v>-1.1608000000000001</v>
      </c>
    </row>
    <row r="12" spans="1:4" ht="18" customHeight="1" x14ac:dyDescent="0.25">
      <c r="A12" s="11" t="s">
        <v>13</v>
      </c>
      <c r="B12" s="13" t="s">
        <v>14</v>
      </c>
      <c r="C12" s="13" t="s">
        <v>15</v>
      </c>
      <c r="D12" s="13" t="s">
        <v>16</v>
      </c>
    </row>
    <row r="13" spans="1:4" ht="18" customHeight="1" x14ac:dyDescent="0.25">
      <c r="A13" s="11" t="s">
        <v>17</v>
      </c>
      <c r="B13" s="12">
        <v>5.1100000000000003</v>
      </c>
      <c r="C13" s="12">
        <v>6.43</v>
      </c>
      <c r="D13" s="12">
        <v>7.25</v>
      </c>
    </row>
    <row r="14" spans="1:4" ht="18" customHeight="1" x14ac:dyDescent="0.25">
      <c r="A14" s="11" t="s">
        <v>98</v>
      </c>
      <c r="B14" s="13">
        <v>-2.2753000000000001</v>
      </c>
      <c r="C14" s="13" t="s">
        <v>18</v>
      </c>
      <c r="D14" s="13">
        <v>-2.0811999999999999</v>
      </c>
    </row>
    <row r="15" spans="1:4" ht="18" customHeight="1" x14ac:dyDescent="0.25">
      <c r="A15" s="11" t="s">
        <v>99</v>
      </c>
      <c r="B15" s="12">
        <v>-1.5969</v>
      </c>
      <c r="C15" s="12" t="s">
        <v>18</v>
      </c>
      <c r="D15" s="12">
        <v>-1.5345</v>
      </c>
    </row>
    <row r="16" spans="1:4" ht="18" customHeight="1" x14ac:dyDescent="0.25">
      <c r="A16" s="11" t="s">
        <v>100</v>
      </c>
      <c r="B16" s="13">
        <v>-1.8193999999999999</v>
      </c>
      <c r="C16" s="13" t="s">
        <v>18</v>
      </c>
      <c r="D16" s="13">
        <v>-1.7806999999999999</v>
      </c>
    </row>
    <row r="17" spans="1:4" ht="15.75" customHeight="1" x14ac:dyDescent="0.25">
      <c r="A17" s="4" t="s">
        <v>19</v>
      </c>
      <c r="B17" s="4"/>
      <c r="C17" s="4"/>
      <c r="D17" s="4"/>
    </row>
    <row r="18" spans="1:4" ht="18" customHeight="1" x14ac:dyDescent="0.25">
      <c r="A18" s="11" t="s">
        <v>20</v>
      </c>
      <c r="B18" s="12">
        <v>750</v>
      </c>
      <c r="C18" s="12">
        <v>707</v>
      </c>
      <c r="D18" s="12">
        <v>739</v>
      </c>
    </row>
    <row r="19" spans="1:4" ht="18" customHeight="1" x14ac:dyDescent="0.25">
      <c r="A19" s="11" t="s">
        <v>21</v>
      </c>
      <c r="B19" s="13">
        <v>881</v>
      </c>
      <c r="C19" s="13">
        <v>886</v>
      </c>
      <c r="D19" s="13">
        <v>896</v>
      </c>
    </row>
    <row r="20" spans="1:4" ht="18" customHeight="1" x14ac:dyDescent="0.25">
      <c r="A20" s="11" t="s">
        <v>117</v>
      </c>
      <c r="B20" s="12">
        <v>69</v>
      </c>
      <c r="C20" s="12">
        <v>80.2</v>
      </c>
      <c r="D20" s="12">
        <v>67.2</v>
      </c>
    </row>
    <row r="21" spans="1:4" ht="18" customHeight="1" x14ac:dyDescent="0.25">
      <c r="A21" s="11" t="s">
        <v>22</v>
      </c>
      <c r="B21" s="13">
        <v>916</v>
      </c>
      <c r="C21" s="13">
        <v>917</v>
      </c>
      <c r="D21" s="13">
        <v>911</v>
      </c>
    </row>
    <row r="22" spans="1:4" ht="15.75" customHeight="1" x14ac:dyDescent="0.25">
      <c r="A22" s="4" t="s">
        <v>23</v>
      </c>
      <c r="B22" s="4"/>
      <c r="C22" s="4"/>
      <c r="D22" s="4"/>
    </row>
    <row r="23" spans="1:4" ht="18" customHeight="1" x14ac:dyDescent="0.25">
      <c r="A23" s="11" t="s">
        <v>24</v>
      </c>
      <c r="B23" s="12" t="s">
        <v>14</v>
      </c>
      <c r="C23" s="12" t="s">
        <v>25</v>
      </c>
      <c r="D23" s="12" t="s">
        <v>14</v>
      </c>
    </row>
    <row r="24" spans="1:4" ht="18" customHeight="1" x14ac:dyDescent="0.25">
      <c r="A24" s="11" t="s">
        <v>26</v>
      </c>
      <c r="B24" s="13" t="s">
        <v>93</v>
      </c>
      <c r="C24" s="13" t="s">
        <v>27</v>
      </c>
      <c r="D24" s="13" t="s">
        <v>94</v>
      </c>
    </row>
    <row r="25" spans="1:4" ht="15.75" customHeight="1" x14ac:dyDescent="0.25">
      <c r="A25" s="4" t="s">
        <v>28</v>
      </c>
      <c r="B25" s="4"/>
      <c r="C25" s="4"/>
      <c r="D25" s="4"/>
    </row>
    <row r="26" spans="1:4" ht="18" customHeight="1" x14ac:dyDescent="0.25">
      <c r="A26" s="11" t="s">
        <v>29</v>
      </c>
      <c r="B26" s="12">
        <v>-14.5</v>
      </c>
      <c r="C26" s="12">
        <v>-7.98</v>
      </c>
      <c r="D26" s="12">
        <v>-12.82</v>
      </c>
    </row>
    <row r="27" spans="1:4" ht="18" customHeight="1" x14ac:dyDescent="0.25">
      <c r="A27" s="11" t="s">
        <v>30</v>
      </c>
      <c r="B27" s="13">
        <v>-14.73</v>
      </c>
      <c r="C27" s="13">
        <v>-10.35</v>
      </c>
      <c r="D27" s="13">
        <v>-13.84</v>
      </c>
    </row>
    <row r="28" spans="1:4" ht="18" customHeight="1" x14ac:dyDescent="0.25">
      <c r="A28" s="11" t="s">
        <v>95</v>
      </c>
      <c r="B28" s="12">
        <v>-9.19</v>
      </c>
      <c r="C28" s="12" t="s">
        <v>18</v>
      </c>
      <c r="D28" s="12">
        <v>-9.15</v>
      </c>
    </row>
    <row r="29" spans="1:4" ht="18" customHeight="1" x14ac:dyDescent="0.25">
      <c r="A29" s="11" t="s">
        <v>96</v>
      </c>
      <c r="B29" s="13" t="s">
        <v>18</v>
      </c>
      <c r="C29" s="13">
        <v>-4.2</v>
      </c>
      <c r="D29" s="13" t="s">
        <v>18</v>
      </c>
    </row>
    <row r="30" spans="1:4" ht="18" customHeight="1" x14ac:dyDescent="0.25">
      <c r="A30" s="11" t="s">
        <v>97</v>
      </c>
      <c r="B30" s="12">
        <v>-8</v>
      </c>
      <c r="C30" s="12">
        <v>-2.56</v>
      </c>
      <c r="D30" s="12" t="s">
        <v>18</v>
      </c>
    </row>
    <row r="31" spans="1:4" ht="15.75" customHeight="1" x14ac:dyDescent="0.25">
      <c r="A31" s="4" t="s">
        <v>31</v>
      </c>
      <c r="B31" s="4"/>
      <c r="C31" s="4"/>
      <c r="D31" s="4"/>
    </row>
    <row r="32" spans="1:4" ht="18" customHeight="1" x14ac:dyDescent="0.25">
      <c r="A32" s="11" t="s">
        <v>32</v>
      </c>
      <c r="B32" s="12" t="s">
        <v>33</v>
      </c>
      <c r="C32" s="12" t="s">
        <v>34</v>
      </c>
      <c r="D32" s="12" t="s">
        <v>35</v>
      </c>
    </row>
    <row r="33" spans="1:4" ht="18" customHeight="1" x14ac:dyDescent="0.25">
      <c r="A33" s="11" t="s">
        <v>36</v>
      </c>
      <c r="B33" s="13" t="s">
        <v>18</v>
      </c>
      <c r="C33" s="13" t="s">
        <v>37</v>
      </c>
      <c r="D33" s="13" t="s">
        <v>38</v>
      </c>
    </row>
  </sheetData>
  <mergeCells count="9">
    <mergeCell ref="A17:D17"/>
    <mergeCell ref="A22:D22"/>
    <mergeCell ref="A25:D25"/>
    <mergeCell ref="A31:D31"/>
    <mergeCell ref="A1:D1"/>
    <mergeCell ref="A2:D2"/>
    <mergeCell ref="A4:D4"/>
    <mergeCell ref="A6:D6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01FB-7287-4CD7-A667-C0B962EEB1D4}">
  <dimension ref="A1:D17"/>
  <sheetViews>
    <sheetView showGridLines="0" zoomScaleNormal="100" workbookViewId="0">
      <selection activeCell="A6" sqref="A6"/>
    </sheetView>
  </sheetViews>
  <sheetFormatPr defaultColWidth="8.7109375" defaultRowHeight="15" x14ac:dyDescent="0.25"/>
  <cols>
    <col min="1" max="1" width="36" customWidth="1"/>
    <col min="2" max="4" width="22" customWidth="1"/>
  </cols>
  <sheetData>
    <row r="1" spans="1:4" ht="25.5" customHeight="1" x14ac:dyDescent="0.25">
      <c r="A1" s="3" t="s">
        <v>113</v>
      </c>
      <c r="B1" s="3"/>
      <c r="C1" s="3"/>
      <c r="D1" s="3"/>
    </row>
    <row r="2" spans="1:4" ht="15.75" customHeight="1" x14ac:dyDescent="0.25">
      <c r="A2" s="2" t="s">
        <v>114</v>
      </c>
      <c r="B2" s="2"/>
      <c r="C2" s="2"/>
      <c r="D2" s="2"/>
    </row>
    <row r="3" spans="1:4" ht="19.5" customHeight="1" x14ac:dyDescent="0.25">
      <c r="A3" s="7" t="s">
        <v>0</v>
      </c>
      <c r="B3" s="8" t="s">
        <v>112</v>
      </c>
      <c r="C3" s="9" t="s">
        <v>111</v>
      </c>
      <c r="D3" s="10" t="s">
        <v>110</v>
      </c>
    </row>
    <row r="4" spans="1:4" ht="15.75" customHeight="1" x14ac:dyDescent="0.25">
      <c r="A4" s="4" t="s">
        <v>109</v>
      </c>
      <c r="B4" s="4"/>
      <c r="C4" s="4"/>
      <c r="D4" s="4"/>
    </row>
    <row r="5" spans="1:4" ht="18" customHeight="1" x14ac:dyDescent="0.25">
      <c r="A5" s="11" t="s">
        <v>20</v>
      </c>
      <c r="B5" s="31">
        <v>750</v>
      </c>
      <c r="C5" s="31">
        <v>706</v>
      </c>
      <c r="D5" s="31">
        <v>739</v>
      </c>
    </row>
    <row r="6" spans="1:4" ht="18" customHeight="1" x14ac:dyDescent="0.25">
      <c r="A6" s="11" t="s">
        <v>108</v>
      </c>
      <c r="B6" s="32">
        <v>10.5</v>
      </c>
      <c r="C6" s="32">
        <v>9.9499999999999993</v>
      </c>
      <c r="D6" s="32">
        <v>10.4</v>
      </c>
    </row>
    <row r="7" spans="1:4" ht="18" customHeight="1" x14ac:dyDescent="0.25">
      <c r="A7" s="11" t="s">
        <v>118</v>
      </c>
      <c r="B7" s="31">
        <v>273.60000000000002</v>
      </c>
      <c r="C7" s="31">
        <v>271.8</v>
      </c>
      <c r="D7" s="31">
        <v>272.60000000000002</v>
      </c>
    </row>
    <row r="8" spans="1:4" ht="15.75" customHeight="1" x14ac:dyDescent="0.25">
      <c r="A8" s="4" t="s">
        <v>107</v>
      </c>
      <c r="B8" s="4"/>
      <c r="C8" s="4"/>
      <c r="D8" s="4"/>
    </row>
    <row r="9" spans="1:4" ht="18" customHeight="1" x14ac:dyDescent="0.25">
      <c r="A9" s="11" t="s">
        <v>22</v>
      </c>
      <c r="B9" s="31">
        <v>916</v>
      </c>
      <c r="C9" s="31">
        <v>914</v>
      </c>
      <c r="D9" s="31">
        <v>911</v>
      </c>
    </row>
    <row r="10" spans="1:4" ht="18" customHeight="1" x14ac:dyDescent="0.25">
      <c r="A10" s="11" t="s">
        <v>106</v>
      </c>
      <c r="B10" s="32">
        <v>14.2</v>
      </c>
      <c r="C10" s="32">
        <v>14.55</v>
      </c>
      <c r="D10" s="32">
        <v>14.35</v>
      </c>
    </row>
    <row r="11" spans="1:4" ht="18" customHeight="1" x14ac:dyDescent="0.25">
      <c r="A11" s="11" t="s">
        <v>117</v>
      </c>
      <c r="B11" s="31">
        <v>69</v>
      </c>
      <c r="C11" s="31">
        <v>80</v>
      </c>
      <c r="D11" s="31">
        <v>67.2</v>
      </c>
    </row>
    <row r="12" spans="1:4" ht="15.75" customHeight="1" x14ac:dyDescent="0.25">
      <c r="A12" s="4" t="s">
        <v>105</v>
      </c>
      <c r="B12" s="4"/>
      <c r="C12" s="4"/>
      <c r="D12" s="4"/>
    </row>
    <row r="13" spans="1:4" ht="18" customHeight="1" x14ac:dyDescent="0.25">
      <c r="A13" s="11" t="s">
        <v>104</v>
      </c>
      <c r="B13" s="29">
        <f>B9-B5</f>
        <v>166</v>
      </c>
      <c r="C13" s="29">
        <f>C9-C5</f>
        <v>208</v>
      </c>
      <c r="D13" s="29">
        <f>D9-D5</f>
        <v>172</v>
      </c>
    </row>
    <row r="14" spans="1:4" ht="18" customHeight="1" x14ac:dyDescent="0.25">
      <c r="A14" s="11" t="s">
        <v>103</v>
      </c>
      <c r="B14" s="30">
        <f>B10-B6</f>
        <v>3.6999999999999993</v>
      </c>
      <c r="C14" s="30">
        <f>C10-C6</f>
        <v>4.6000000000000014</v>
      </c>
      <c r="D14" s="30">
        <f>D10-D6</f>
        <v>3.9499999999999993</v>
      </c>
    </row>
    <row r="15" spans="1:4" ht="18" customHeight="1" x14ac:dyDescent="0.25">
      <c r="A15" s="11" t="s">
        <v>116</v>
      </c>
      <c r="B15" s="29">
        <f>B7-B11</f>
        <v>204.60000000000002</v>
      </c>
      <c r="C15" s="29">
        <f>C7-C11</f>
        <v>191.8</v>
      </c>
      <c r="D15" s="29">
        <f>D7-D11</f>
        <v>205.40000000000003</v>
      </c>
    </row>
    <row r="16" spans="1:4" ht="18" customHeight="1" x14ac:dyDescent="0.25">
      <c r="A16" s="11" t="s">
        <v>115</v>
      </c>
      <c r="B16" s="30">
        <f>(B7-B11)/( B10-B6)</f>
        <v>55.297297297297312</v>
      </c>
      <c r="C16" s="30">
        <f>(C7-C11)/(C10-C6)</f>
        <v>41.695652173913032</v>
      </c>
      <c r="D16" s="30">
        <f>(D7-D11)/(D10-D6)</f>
        <v>52.000000000000021</v>
      </c>
    </row>
    <row r="17" spans="1:4" ht="18" customHeight="1" x14ac:dyDescent="0.25">
      <c r="A17" s="11" t="s">
        <v>102</v>
      </c>
      <c r="B17" s="29">
        <f>(B7-B11)/3.6/(B10-B6)</f>
        <v>15.360360360360364</v>
      </c>
      <c r="C17" s="29">
        <f>(C7-C11)/3.6/(C10-C6)</f>
        <v>11.58212560386473</v>
      </c>
      <c r="D17" s="29">
        <f>(D7-D11)/3.6/(D10-D6)</f>
        <v>14.44444444444445</v>
      </c>
    </row>
  </sheetData>
  <mergeCells count="5">
    <mergeCell ref="A1:D1"/>
    <mergeCell ref="A2:D2"/>
    <mergeCell ref="A4:D4"/>
    <mergeCell ref="A8:D8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24" customWidth="1"/>
    <col min="2" max="2" width="78" customWidth="1"/>
  </cols>
  <sheetData>
    <row r="1" spans="1:2" ht="27.75" customHeight="1" x14ac:dyDescent="0.25">
      <c r="A1" s="3" t="s">
        <v>90</v>
      </c>
      <c r="B1" s="3"/>
    </row>
    <row r="2" spans="1:2" ht="18.75" customHeight="1" x14ac:dyDescent="0.25">
      <c r="A2" s="15" t="s">
        <v>39</v>
      </c>
      <c r="B2" s="16" t="s">
        <v>82</v>
      </c>
    </row>
    <row r="3" spans="1:2" ht="49.5" customHeight="1" x14ac:dyDescent="0.25">
      <c r="A3" s="1" t="s">
        <v>86</v>
      </c>
      <c r="B3" s="1"/>
    </row>
    <row r="4" spans="1:2" ht="19.5" customHeight="1" x14ac:dyDescent="0.25">
      <c r="A4" s="17" t="s">
        <v>40</v>
      </c>
      <c r="B4" s="18" t="s">
        <v>81</v>
      </c>
    </row>
    <row r="5" spans="1:2" ht="41.25" customHeight="1" x14ac:dyDescent="0.25">
      <c r="A5" s="1" t="s">
        <v>87</v>
      </c>
      <c r="B5" s="1"/>
    </row>
    <row r="6" spans="1:2" ht="19.5" customHeight="1" x14ac:dyDescent="0.25">
      <c r="A6" s="19" t="s">
        <v>41</v>
      </c>
      <c r="B6" s="20" t="s">
        <v>83</v>
      </c>
    </row>
    <row r="7" spans="1:2" ht="40.5" customHeight="1" x14ac:dyDescent="0.25">
      <c r="A7" s="1" t="s">
        <v>85</v>
      </c>
      <c r="B7" s="1"/>
    </row>
    <row r="8" spans="1:2" ht="21" customHeight="1" x14ac:dyDescent="0.25">
      <c r="A8" s="21" t="s">
        <v>42</v>
      </c>
      <c r="B8" s="22" t="s">
        <v>84</v>
      </c>
    </row>
    <row r="9" spans="1:2" ht="42.75" customHeight="1" x14ac:dyDescent="0.25">
      <c r="A9" s="1" t="s">
        <v>88</v>
      </c>
      <c r="B9" s="1"/>
    </row>
    <row r="10" spans="1:2" ht="99.75" customHeight="1" x14ac:dyDescent="0.25"/>
    <row r="11" spans="1:2" ht="6" customHeight="1" x14ac:dyDescent="0.25"/>
  </sheetData>
  <mergeCells count="5">
    <mergeCell ref="A9:B9"/>
    <mergeCell ref="A1:B1"/>
    <mergeCell ref="A3:B3"/>
    <mergeCell ref="A5:B5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0" customWidth="1"/>
    <col min="2" max="2" width="22" customWidth="1"/>
    <col min="3" max="4" width="16" customWidth="1"/>
    <col min="5" max="5" width="48" customWidth="1"/>
  </cols>
  <sheetData>
    <row r="1" spans="1:5" ht="25.5" customHeight="1" x14ac:dyDescent="0.25">
      <c r="A1" s="3" t="s">
        <v>89</v>
      </c>
      <c r="B1" s="3"/>
      <c r="C1" s="3"/>
      <c r="D1" s="3"/>
      <c r="E1" s="3"/>
    </row>
    <row r="2" spans="1:5" ht="18" customHeight="1" x14ac:dyDescent="0.25">
      <c r="A2" s="23" t="s">
        <v>43</v>
      </c>
      <c r="B2" s="23" t="s">
        <v>44</v>
      </c>
      <c r="C2" s="23" t="s">
        <v>45</v>
      </c>
      <c r="D2" s="23" t="s">
        <v>46</v>
      </c>
      <c r="E2" s="23" t="s">
        <v>47</v>
      </c>
    </row>
    <row r="3" spans="1:5" ht="25.5" customHeight="1" x14ac:dyDescent="0.25">
      <c r="A3" s="24" t="s">
        <v>48</v>
      </c>
      <c r="B3" s="25" t="s">
        <v>49</v>
      </c>
      <c r="C3" s="12" t="s">
        <v>50</v>
      </c>
      <c r="D3" s="12" t="s">
        <v>51</v>
      </c>
      <c r="E3" s="25" t="s">
        <v>52</v>
      </c>
    </row>
    <row r="4" spans="1:5" ht="19.5" customHeight="1" x14ac:dyDescent="0.25">
      <c r="A4" s="24" t="s">
        <v>48</v>
      </c>
      <c r="B4" s="14" t="s">
        <v>53</v>
      </c>
      <c r="C4" s="13" t="s">
        <v>54</v>
      </c>
      <c r="D4" s="13" t="s">
        <v>55</v>
      </c>
      <c r="E4" s="14" t="s">
        <v>56</v>
      </c>
    </row>
    <row r="5" spans="1:5" ht="27.75" customHeight="1" x14ac:dyDescent="0.25">
      <c r="A5" s="26" t="s">
        <v>48</v>
      </c>
      <c r="B5" s="25" t="s">
        <v>57</v>
      </c>
      <c r="C5" s="12" t="s">
        <v>58</v>
      </c>
      <c r="D5" s="12" t="s">
        <v>59</v>
      </c>
      <c r="E5" s="25" t="s">
        <v>60</v>
      </c>
    </row>
    <row r="6" spans="1:5" ht="19.5" customHeight="1" x14ac:dyDescent="0.25">
      <c r="A6" s="24" t="s">
        <v>48</v>
      </c>
      <c r="B6" s="14" t="s">
        <v>61</v>
      </c>
      <c r="C6" s="13" t="s">
        <v>62</v>
      </c>
      <c r="D6" s="13" t="s">
        <v>63</v>
      </c>
      <c r="E6" s="14" t="s">
        <v>64</v>
      </c>
    </row>
    <row r="7" spans="1:5" ht="19.5" customHeight="1" x14ac:dyDescent="0.25">
      <c r="A7" s="24" t="s">
        <v>48</v>
      </c>
      <c r="B7" s="25" t="s">
        <v>65</v>
      </c>
      <c r="C7" s="12" t="s">
        <v>66</v>
      </c>
      <c r="D7" s="12" t="s">
        <v>67</v>
      </c>
      <c r="E7" s="25" t="s">
        <v>68</v>
      </c>
    </row>
    <row r="8" spans="1:5" ht="19.5" customHeight="1" x14ac:dyDescent="0.25">
      <c r="A8" s="26" t="s">
        <v>48</v>
      </c>
      <c r="B8" s="14" t="s">
        <v>69</v>
      </c>
      <c r="C8" s="13" t="s">
        <v>70</v>
      </c>
      <c r="D8" s="13" t="s">
        <v>71</v>
      </c>
      <c r="E8" s="14" t="s">
        <v>72</v>
      </c>
    </row>
    <row r="9" spans="1:5" ht="26.25" customHeight="1" x14ac:dyDescent="0.25">
      <c r="A9" s="27" t="s">
        <v>73</v>
      </c>
      <c r="B9" s="25" t="s">
        <v>74</v>
      </c>
      <c r="C9" s="12" t="s">
        <v>18</v>
      </c>
      <c r="D9" s="12" t="s">
        <v>75</v>
      </c>
      <c r="E9" s="25" t="s">
        <v>76</v>
      </c>
    </row>
    <row r="10" spans="1:5" ht="19.5" customHeight="1" x14ac:dyDescent="0.25">
      <c r="A10" s="28" t="s">
        <v>77</v>
      </c>
      <c r="B10" s="14" t="s">
        <v>78</v>
      </c>
      <c r="C10" s="13" t="s">
        <v>18</v>
      </c>
      <c r="D10" s="13" t="s">
        <v>79</v>
      </c>
      <c r="E10" s="14" t="s">
        <v>80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Comparison</vt:lpstr>
      <vt:lpstr>Braking Zone Analysis</vt:lpstr>
      <vt:lpstr>Key Findings</vt:lpstr>
      <vt:lpstr>Proposed Physics Modifications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Tautvydas Zilevicius</cp:lastModifiedBy>
  <cp:revision>0</cp:revision>
  <dcterms:created xsi:type="dcterms:W3CDTF">2026-03-27T11:46:02Z</dcterms:created>
  <dcterms:modified xsi:type="dcterms:W3CDTF">2026-03-27T13:33:33Z</dcterms:modified>
  <dc:language>en-US</dc:language>
</cp:coreProperties>
</file>